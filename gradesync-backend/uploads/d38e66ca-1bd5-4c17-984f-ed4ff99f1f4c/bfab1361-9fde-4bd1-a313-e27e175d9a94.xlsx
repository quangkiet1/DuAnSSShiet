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CS" sheetId="1" r:id="rId5"/>
    <sheet state="visible" name="DACN" sheetId="2" r:id="rId6"/>
  </sheets>
  <definedNames>
    <definedName hidden="1" localSheetId="0" name="_xlnm._FilterDatabase">DACS!$A$6:$R$33</definedName>
  </definedNames>
  <calcPr/>
</workbook>
</file>

<file path=xl/sharedStrings.xml><?xml version="1.0" encoding="utf-8"?>
<sst xmlns="http://schemas.openxmlformats.org/spreadsheetml/2006/main" count="182" uniqueCount="82">
  <si>
    <t>KHOA CÔNG NGHỆ THÔNG TIN</t>
  </si>
  <si>
    <t>BẢNG ĐIỂM ĐỒ ÁN CƠ SỞ/CHUYÊN NGÀNH/ TỔNG HỢP/JAVA</t>
  </si>
  <si>
    <t>HỌC KỲ 2.  -  NĂM 2025 -  2026</t>
  </si>
  <si>
    <t>STT</t>
  </si>
  <si>
    <t>Mã SV</t>
  </si>
  <si>
    <t xml:space="preserve">Họ tên </t>
  </si>
  <si>
    <t>Lớp</t>
  </si>
  <si>
    <t>Các tiêu chí đánh giá</t>
  </si>
  <si>
    <t>Tổng điểm</t>
  </si>
  <si>
    <t>Ghi chú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</si>
  <si>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</si>
  <si>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</si>
  <si>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</si>
  <si>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</si>
  <si>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</si>
  <si>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</si>
  <si>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</si>
  <si>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</si>
  <si>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</si>
  <si>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</si>
  <si>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</si>
  <si>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</si>
  <si>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</si>
  <si>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</si>
  <si>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</si>
  <si>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</si>
  <si>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</si>
  <si>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</si>
  <si>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</si>
  <si>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Lê Châu</t>
  </si>
  <si>
    <t>Anh</t>
  </si>
  <si>
    <t>23DTHB1</t>
  </si>
  <si>
    <t>Phạm Quý Gia</t>
  </si>
  <si>
    <t>Đức</t>
  </si>
  <si>
    <t>7.5</t>
  </si>
  <si>
    <t>Võ Thiên</t>
  </si>
  <si>
    <t>Nguyễn Hiếu</t>
  </si>
  <si>
    <t>Học</t>
  </si>
  <si>
    <t>Đặng Thanh</t>
  </si>
  <si>
    <t>Huy</t>
  </si>
  <si>
    <t>Bùi Nhật Quỳnh</t>
  </si>
  <si>
    <t>Hương</t>
  </si>
  <si>
    <t>Ngô Anh</t>
  </si>
  <si>
    <t>Khoa</t>
  </si>
  <si>
    <t>Vắng</t>
  </si>
  <si>
    <t>Nông Đức</t>
  </si>
  <si>
    <t>Nam</t>
  </si>
  <si>
    <t>Nguyễn Thị Trúc</t>
  </si>
  <si>
    <t>Ngọc</t>
  </si>
  <si>
    <t>Trần Quốc</t>
  </si>
  <si>
    <t>Nguyễn</t>
  </si>
  <si>
    <t>Phạm Công</t>
  </si>
  <si>
    <t>Nhân</t>
  </si>
  <si>
    <t>Nguyễn Tấn</t>
  </si>
  <si>
    <t>Phát</t>
  </si>
  <si>
    <t>Tạ Tuấn</t>
  </si>
  <si>
    <t>Nguyễn Doãn</t>
  </si>
  <si>
    <t>Thành</t>
  </si>
  <si>
    <t xml:space="preserve">Nguyễn Tiến </t>
  </si>
  <si>
    <t>Hồ Lê Quốc</t>
  </si>
  <si>
    <t>Thịnh</t>
  </si>
  <si>
    <t>Phạm Ngọc</t>
  </si>
  <si>
    <t>Thuân</t>
  </si>
  <si>
    <t>Nguyễn Thị Châu</t>
  </si>
  <si>
    <t>Thy</t>
  </si>
  <si>
    <t>Lại Mỹ</t>
  </si>
  <si>
    <t>Toàn</t>
  </si>
  <si>
    <t>Nguyễn Cao</t>
  </si>
  <si>
    <t>Trí</t>
  </si>
  <si>
    <t>Nguyễn Trung</t>
  </si>
  <si>
    <t>Trực</t>
  </si>
  <si>
    <t>Bùi Xuân Anh</t>
  </si>
  <si>
    <t>Tuấn</t>
  </si>
  <si>
    <t>Nguyễn Minh</t>
  </si>
  <si>
    <t>Nguyễn Quang</t>
  </si>
  <si>
    <t>Vinh</t>
  </si>
  <si>
    <t>GV CHẤM 1</t>
  </si>
  <si>
    <t>GV CHẤM 2</t>
  </si>
  <si>
    <t>(Họ và tên)</t>
  </si>
  <si>
    <t>HỌC KỲ 2   -  NĂM 2025 -  2026</t>
  </si>
  <si>
    <t>Vương Kỳ Anh</t>
  </si>
  <si>
    <t>19DTHB1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</si>
</sst>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2.0"/>
      <color theme="1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3.0"/>
      <color theme="1"/>
      <name val="Times New Roman"/>
    </font>
    <font/>
    <font>
      <b/>
      <sz val="11.0"/>
      <color rgb="FF000000"/>
      <name val="Times New Roman"/>
    </font>
    <font>
      <sz val="11.0"/>
      <color theme="1"/>
      <name val="Times New Roman"/>
    </font>
    <font>
      <sz val="10.0"/>
      <color rgb="FF434343"/>
      <name val="Roboto"/>
    </font>
    <font>
      <i/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6" numFmtId="0" xfId="0" applyBorder="1" applyFont="1"/>
    <xf borderId="4" fillId="0" fontId="3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8" fillId="0" fontId="6" numFmtId="0" xfId="0" applyBorder="1" applyFont="1"/>
    <xf borderId="7" fillId="0" fontId="6" numFmtId="0" xfId="0" applyBorder="1" applyFont="1"/>
    <xf borderId="9" fillId="0" fontId="6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1" fillId="0" fontId="6" numFmtId="0" xfId="0" applyBorder="1" applyFont="1"/>
    <xf borderId="12" fillId="0" fontId="6" numFmtId="0" xfId="0" applyBorder="1" applyFont="1"/>
    <xf borderId="10" fillId="0" fontId="8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0" fillId="0" fontId="8" numFmtId="0" xfId="0" applyBorder="1" applyFont="1"/>
    <xf borderId="6" fillId="0" fontId="8" numFmtId="164" xfId="0" applyAlignment="1" applyBorder="1" applyFont="1" applyNumberFormat="1">
      <alignment horizontal="center" vertical="center"/>
    </xf>
    <xf borderId="10" fillId="0" fontId="8" numFmtId="164" xfId="0" applyAlignment="1" applyBorder="1" applyFont="1" applyNumberFormat="1">
      <alignment horizontal="center" readingOrder="0" vertical="center"/>
    </xf>
    <xf borderId="10" fillId="0" fontId="8" numFmtId="164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readingOrder="0" vertical="center"/>
    </xf>
    <xf borderId="10" fillId="0" fontId="1" numFmtId="0" xfId="0" applyBorder="1" applyFont="1"/>
    <xf borderId="10" fillId="2" fontId="9" numFmtId="0" xfId="0" applyAlignment="1" applyBorder="1" applyFill="1" applyFont="1">
      <alignment shrinkToFit="0" vertical="center" wrapText="1"/>
    </xf>
    <xf borderId="4" fillId="0" fontId="3" numFmtId="164" xfId="0" applyAlignment="1" applyBorder="1" applyFont="1" applyNumberFormat="1">
      <alignment horizontal="center" vertical="center"/>
    </xf>
    <xf borderId="10" fillId="3" fontId="9" numFmtId="0" xfId="0" applyAlignment="1" applyBorder="1" applyFill="1" applyFont="1">
      <alignment shrinkToFit="0" vertical="center" wrapText="1"/>
    </xf>
    <xf borderId="14" fillId="4" fontId="3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10" fillId="0" fontId="3" numFmtId="164" xfId="0" applyAlignment="1" applyBorder="1" applyFont="1" applyNumberFormat="1">
      <alignment horizontal="center" vertical="center"/>
    </xf>
    <xf borderId="13" fillId="0" fontId="1" numFmtId="0" xfId="0" applyBorder="1" applyFont="1"/>
    <xf borderId="13" fillId="0" fontId="8" numFmtId="0" xfId="0" applyBorder="1" applyFont="1"/>
    <xf borderId="10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28575</xdr:rowOff>
    </xdr:from>
    <xdr:ext cx="1457325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28575</xdr:rowOff>
    </xdr:from>
    <xdr:ext cx="1457325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0.1" defaultRowHeight="15.0"/>
  <cols>
    <col customWidth="1" min="1" max="1" width="4.1"/>
    <col customWidth="1" min="2" max="2" width="10.2"/>
    <col customWidth="1" min="3" max="3" width="12.6"/>
    <col customWidth="1" min="4" max="4" width="8.1"/>
    <col customWidth="1" min="5" max="5" width="8.0"/>
    <col customWidth="1" min="6" max="14" width="10.0"/>
    <col customWidth="1" min="15" max="15" width="5.6"/>
    <col customWidth="1" min="16" max="16" width="5.5"/>
    <col customWidth="1" hidden="1" min="17" max="18" width="11.1"/>
    <col customWidth="1" min="19" max="27" width="11.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3" t="s">
        <v>0</v>
      </c>
      <c r="B3" s="4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6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7" t="s">
        <v>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8" t="s">
        <v>3</v>
      </c>
      <c r="B6" s="8" t="s">
        <v>4</v>
      </c>
      <c r="C6" s="9" t="s">
        <v>5</v>
      </c>
      <c r="D6" s="10"/>
      <c r="E6" s="8" t="s">
        <v>6</v>
      </c>
      <c r="F6" s="11" t="s">
        <v>7</v>
      </c>
      <c r="G6" s="12"/>
      <c r="H6" s="12"/>
      <c r="I6" s="12"/>
      <c r="J6" s="12"/>
      <c r="K6" s="12"/>
      <c r="L6" s="12"/>
      <c r="M6" s="12"/>
      <c r="N6" s="13"/>
      <c r="O6" s="14" t="s">
        <v>8</v>
      </c>
      <c r="P6" s="14" t="s">
        <v>9</v>
      </c>
      <c r="Q6" s="15" t="s">
        <v>10</v>
      </c>
      <c r="R6" s="16" t="s">
        <v>11</v>
      </c>
      <c r="S6" s="1"/>
      <c r="T6" s="1"/>
      <c r="U6" s="1"/>
      <c r="V6" s="1"/>
      <c r="W6" s="1"/>
      <c r="X6" s="1"/>
      <c r="Y6" s="1"/>
      <c r="Z6" s="1"/>
      <c r="AA6" s="1"/>
    </row>
    <row r="7" ht="30.75" customHeight="1">
      <c r="A7" s="17"/>
      <c r="B7" s="17"/>
      <c r="C7" s="18"/>
      <c r="D7" s="19"/>
      <c r="E7" s="17"/>
      <c r="F7" s="11" t="s">
        <v>12</v>
      </c>
      <c r="G7" s="12"/>
      <c r="H7" s="12"/>
      <c r="I7" s="13"/>
      <c r="J7" s="20" t="s">
        <v>13</v>
      </c>
      <c r="K7" s="13"/>
      <c r="L7" s="20" t="s">
        <v>14</v>
      </c>
      <c r="M7" s="13"/>
      <c r="N7" s="21" t="s">
        <v>15</v>
      </c>
      <c r="O7" s="17"/>
      <c r="P7" s="17"/>
      <c r="Q7" s="18"/>
      <c r="S7" s="1"/>
      <c r="T7" s="1"/>
      <c r="U7" s="1"/>
      <c r="V7" s="1"/>
      <c r="W7" s="1"/>
      <c r="X7" s="1"/>
      <c r="Y7" s="1"/>
      <c r="Z7" s="1"/>
      <c r="AA7" s="1"/>
    </row>
    <row r="8">
      <c r="A8" s="17"/>
      <c r="B8" s="17"/>
      <c r="C8" s="18"/>
      <c r="D8" s="19"/>
      <c r="E8" s="17"/>
      <c r="F8" s="22" t="s">
        <v>16</v>
      </c>
      <c r="G8" s="22" t="s">
        <v>17</v>
      </c>
      <c r="H8" s="22" t="s">
        <v>18</v>
      </c>
      <c r="I8" s="22" t="s">
        <v>19</v>
      </c>
      <c r="J8" s="22" t="s">
        <v>20</v>
      </c>
      <c r="K8" s="22" t="s">
        <v>21</v>
      </c>
      <c r="L8" s="22" t="s">
        <v>22</v>
      </c>
      <c r="M8" s="22" t="s">
        <v>23</v>
      </c>
      <c r="N8" s="22" t="s">
        <v>24</v>
      </c>
      <c r="O8" s="17"/>
      <c r="P8" s="17"/>
      <c r="Q8" s="18"/>
      <c r="S8" s="23"/>
      <c r="T8" s="23"/>
      <c r="U8" s="23"/>
      <c r="V8" s="1"/>
      <c r="W8" s="1"/>
      <c r="X8" s="1"/>
      <c r="Y8" s="1"/>
      <c r="Z8" s="1"/>
      <c r="AA8" s="1"/>
    </row>
    <row r="9" ht="15.75" customHeight="1">
      <c r="A9" s="17"/>
      <c r="B9" s="17"/>
      <c r="C9" s="24"/>
      <c r="D9" s="25"/>
      <c r="E9" s="17"/>
      <c r="F9" s="26" t="s">
        <v>25</v>
      </c>
      <c r="G9" s="26" t="s">
        <v>25</v>
      </c>
      <c r="H9" s="26" t="s">
        <v>26</v>
      </c>
      <c r="I9" s="26" t="s">
        <v>26</v>
      </c>
      <c r="J9" s="26" t="s">
        <v>27</v>
      </c>
      <c r="K9" s="26" t="s">
        <v>27</v>
      </c>
      <c r="L9" s="26" t="s">
        <v>28</v>
      </c>
      <c r="M9" s="26" t="s">
        <v>28</v>
      </c>
      <c r="N9" s="26" t="s">
        <v>26</v>
      </c>
      <c r="O9" s="27"/>
      <c r="P9" s="17"/>
      <c r="Q9" s="18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28">
        <v>1.0</v>
      </c>
      <c r="B10" s="28">
        <v>2.380600048E9</v>
      </c>
      <c r="C10" s="28" t="s">
        <v>29</v>
      </c>
      <c r="D10" s="28" t="s">
        <v>30</v>
      </c>
      <c r="E10" s="28" t="s">
        <v>31</v>
      </c>
      <c r="F10" s="29">
        <v>7.0</v>
      </c>
      <c r="G10" s="30">
        <v>10.0</v>
      </c>
      <c r="H10" s="30">
        <v>10.0</v>
      </c>
      <c r="I10" s="30">
        <v>10.0</v>
      </c>
      <c r="J10" s="30">
        <v>10.0</v>
      </c>
      <c r="K10" s="30">
        <v>10.0</v>
      </c>
      <c r="L10" s="30">
        <v>10.0</v>
      </c>
      <c r="M10" s="31">
        <v>6.0</v>
      </c>
      <c r="N10" s="31">
        <v>6.0</v>
      </c>
      <c r="O10" s="32">
        <v>9.0</v>
      </c>
      <c r="P10" s="33"/>
      <c r="Q10" s="34">
        <v>6.0</v>
      </c>
      <c r="R10" s="1">
        <v>7.0</v>
      </c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28">
        <v>2.0</v>
      </c>
      <c r="B11" s="28">
        <v>2.380600544E9</v>
      </c>
      <c r="C11" s="28" t="s">
        <v>32</v>
      </c>
      <c r="D11" s="28" t="s">
        <v>33</v>
      </c>
      <c r="E11" s="28" t="s">
        <v>31</v>
      </c>
      <c r="F11" s="29">
        <v>7.0</v>
      </c>
      <c r="G11" s="31">
        <v>7.0</v>
      </c>
      <c r="H11" s="31">
        <v>7.0</v>
      </c>
      <c r="I11" s="31">
        <v>7.0</v>
      </c>
      <c r="J11" s="31">
        <v>8.0</v>
      </c>
      <c r="K11" s="31">
        <v>8.0</v>
      </c>
      <c r="L11" s="31">
        <v>7.0</v>
      </c>
      <c r="M11" s="31">
        <v>7.0</v>
      </c>
      <c r="N11" s="31">
        <v>7.0</v>
      </c>
      <c r="O11" s="35">
        <f t="shared" ref="O11:O15" si="1">MROUND(F11*0.1+G11*0.1+H11*0.1+I11*0.1+J11*0.15+K11*0.15+L11*0.1+M11*0.1+N11*0.1, 0.5)</f>
        <v>7.5</v>
      </c>
      <c r="P11" s="33"/>
      <c r="Q11" s="34">
        <v>2.0</v>
      </c>
      <c r="R11" s="1" t="s">
        <v>34</v>
      </c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28">
        <v>3.0</v>
      </c>
      <c r="B12" s="28">
        <v>2.380600551E9</v>
      </c>
      <c r="C12" s="28" t="s">
        <v>35</v>
      </c>
      <c r="D12" s="28" t="s">
        <v>33</v>
      </c>
      <c r="E12" s="28" t="s">
        <v>31</v>
      </c>
      <c r="F12" s="29">
        <v>7.0</v>
      </c>
      <c r="G12" s="31">
        <v>7.0</v>
      </c>
      <c r="H12" s="31">
        <v>7.0</v>
      </c>
      <c r="I12" s="31">
        <v>7.0</v>
      </c>
      <c r="J12" s="31">
        <v>8.0</v>
      </c>
      <c r="K12" s="31">
        <v>8.0</v>
      </c>
      <c r="L12" s="31">
        <v>7.0</v>
      </c>
      <c r="M12" s="31">
        <v>7.0</v>
      </c>
      <c r="N12" s="31">
        <v>7.0</v>
      </c>
      <c r="O12" s="35">
        <f t="shared" si="1"/>
        <v>7.5</v>
      </c>
      <c r="P12" s="33"/>
      <c r="Q12" s="36">
        <v>2.0</v>
      </c>
      <c r="R12" s="1" t="s">
        <v>34</v>
      </c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28">
        <v>4.0</v>
      </c>
      <c r="B13" s="28">
        <v>2.38060075E9</v>
      </c>
      <c r="C13" s="28" t="s">
        <v>36</v>
      </c>
      <c r="D13" s="28" t="s">
        <v>37</v>
      </c>
      <c r="E13" s="28" t="s">
        <v>31</v>
      </c>
      <c r="F13" s="29">
        <v>8.0</v>
      </c>
      <c r="G13" s="31">
        <v>8.0</v>
      </c>
      <c r="H13" s="31">
        <v>8.0</v>
      </c>
      <c r="I13" s="31">
        <v>8.0</v>
      </c>
      <c r="J13" s="31">
        <v>8.0</v>
      </c>
      <c r="K13" s="31">
        <v>8.0</v>
      </c>
      <c r="L13" s="31">
        <v>8.0</v>
      </c>
      <c r="M13" s="31">
        <v>8.0</v>
      </c>
      <c r="N13" s="31">
        <v>8.0</v>
      </c>
      <c r="O13" s="35">
        <f t="shared" si="1"/>
        <v>8</v>
      </c>
      <c r="P13" s="33"/>
      <c r="Q13" s="34">
        <v>8.0</v>
      </c>
      <c r="R13" s="1">
        <v>8.0</v>
      </c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28">
        <v>5.0</v>
      </c>
      <c r="B14" s="28">
        <v>2.380614784E9</v>
      </c>
      <c r="C14" s="28" t="s">
        <v>38</v>
      </c>
      <c r="D14" s="28" t="s">
        <v>39</v>
      </c>
      <c r="E14" s="28" t="s">
        <v>31</v>
      </c>
      <c r="F14" s="29">
        <v>6.0</v>
      </c>
      <c r="G14" s="31">
        <v>6.0</v>
      </c>
      <c r="H14" s="31">
        <v>6.0</v>
      </c>
      <c r="I14" s="31">
        <v>6.0</v>
      </c>
      <c r="J14" s="31">
        <v>6.0</v>
      </c>
      <c r="K14" s="31">
        <v>7.0</v>
      </c>
      <c r="L14" s="31">
        <v>6.0</v>
      </c>
      <c r="M14" s="31">
        <v>6.0</v>
      </c>
      <c r="N14" s="31">
        <v>6.0</v>
      </c>
      <c r="O14" s="35">
        <f t="shared" si="1"/>
        <v>6</v>
      </c>
      <c r="P14" s="33"/>
      <c r="Q14" s="34">
        <v>9.0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28">
        <v>6.0</v>
      </c>
      <c r="B15" s="28">
        <v>2.380600941E9</v>
      </c>
      <c r="C15" s="28" t="s">
        <v>40</v>
      </c>
      <c r="D15" s="28" t="s">
        <v>41</v>
      </c>
      <c r="E15" s="28" t="s">
        <v>31</v>
      </c>
      <c r="F15" s="29">
        <v>8.0</v>
      </c>
      <c r="G15" s="31">
        <v>8.0</v>
      </c>
      <c r="H15" s="31">
        <v>8.0</v>
      </c>
      <c r="I15" s="31">
        <v>8.0</v>
      </c>
      <c r="J15" s="31">
        <v>8.0</v>
      </c>
      <c r="K15" s="31">
        <v>8.0</v>
      </c>
      <c r="L15" s="31">
        <v>8.0</v>
      </c>
      <c r="M15" s="31">
        <v>8.0</v>
      </c>
      <c r="N15" s="31">
        <v>8.0</v>
      </c>
      <c r="O15" s="35">
        <f t="shared" si="1"/>
        <v>8</v>
      </c>
      <c r="P15" s="33"/>
      <c r="Q15" s="34">
        <v>4.0</v>
      </c>
      <c r="R15" s="1">
        <v>8.0</v>
      </c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28">
        <v>7.0</v>
      </c>
      <c r="B16" s="28">
        <v>2.380601058E9</v>
      </c>
      <c r="C16" s="28" t="s">
        <v>42</v>
      </c>
      <c r="D16" s="28" t="s">
        <v>43</v>
      </c>
      <c r="E16" s="28" t="s">
        <v>31</v>
      </c>
      <c r="F16" s="29" t="s">
        <v>44</v>
      </c>
      <c r="G16" s="29" t="s">
        <v>44</v>
      </c>
      <c r="H16" s="29" t="s">
        <v>44</v>
      </c>
      <c r="I16" s="29" t="s">
        <v>44</v>
      </c>
      <c r="J16" s="29" t="s">
        <v>44</v>
      </c>
      <c r="K16" s="29" t="s">
        <v>44</v>
      </c>
      <c r="L16" s="29" t="s">
        <v>44</v>
      </c>
      <c r="M16" s="29" t="s">
        <v>44</v>
      </c>
      <c r="N16" s="29" t="s">
        <v>44</v>
      </c>
      <c r="O16" s="37" t="s">
        <v>44</v>
      </c>
      <c r="P16" s="33"/>
      <c r="Q16" s="36">
        <v>2.0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28">
        <v>8.0</v>
      </c>
      <c r="B17" s="28">
        <v>2.380604627E9</v>
      </c>
      <c r="C17" s="28" t="s">
        <v>45</v>
      </c>
      <c r="D17" s="28" t="s">
        <v>46</v>
      </c>
      <c r="E17" s="28" t="s">
        <v>31</v>
      </c>
      <c r="F17" s="29">
        <v>7.0</v>
      </c>
      <c r="G17" s="31">
        <v>8.0</v>
      </c>
      <c r="H17" s="31">
        <v>7.0</v>
      </c>
      <c r="I17" s="31">
        <v>7.0</v>
      </c>
      <c r="J17" s="31">
        <v>7.0</v>
      </c>
      <c r="K17" s="31">
        <v>7.0</v>
      </c>
      <c r="L17" s="31">
        <v>7.0</v>
      </c>
      <c r="M17" s="31">
        <v>7.0</v>
      </c>
      <c r="N17" s="31">
        <v>8.0</v>
      </c>
      <c r="O17" s="35">
        <f>MROUND(F17*0.1+G17*0.1+H17*0.1+I17*0.1+J17*0.15+K17*0.15+L17*0.1+M17*0.1+N17*0.1, 0.5)</f>
        <v>7</v>
      </c>
      <c r="P17" s="33"/>
      <c r="Q17" s="36">
        <v>5.0</v>
      </c>
      <c r="R17" s="1">
        <v>7.0</v>
      </c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28">
        <v>9.0</v>
      </c>
      <c r="B18" s="28">
        <v>2.380601469E9</v>
      </c>
      <c r="C18" s="28" t="s">
        <v>47</v>
      </c>
      <c r="D18" s="28" t="s">
        <v>48</v>
      </c>
      <c r="E18" s="28" t="s">
        <v>31</v>
      </c>
      <c r="F18" s="29">
        <v>8.0</v>
      </c>
      <c r="G18" s="31">
        <v>8.0</v>
      </c>
      <c r="H18" s="31">
        <v>8.0</v>
      </c>
      <c r="I18" s="31">
        <v>8.0</v>
      </c>
      <c r="J18" s="31">
        <v>8.0</v>
      </c>
      <c r="K18" s="31">
        <v>8.0</v>
      </c>
      <c r="L18" s="31">
        <v>8.0</v>
      </c>
      <c r="M18" s="31">
        <v>8.0</v>
      </c>
      <c r="N18" s="31">
        <v>8.0</v>
      </c>
      <c r="O18" s="35">
        <f>MROUND(F19*0.1+G19*0.1+H19*0.1+I19*0.1+J19*0.15+K19*0.15+L19*0.1+M19*0.1+N19*0.1, 0.5)</f>
        <v>8</v>
      </c>
      <c r="P18" s="33"/>
      <c r="Q18" s="36">
        <v>8.0</v>
      </c>
      <c r="R18" s="1">
        <v>8.0</v>
      </c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28">
        <v>10.0</v>
      </c>
      <c r="B19" s="28">
        <v>2.380601506E9</v>
      </c>
      <c r="C19" s="28" t="s">
        <v>49</v>
      </c>
      <c r="D19" s="28" t="s">
        <v>50</v>
      </c>
      <c r="E19" s="28" t="s">
        <v>31</v>
      </c>
      <c r="F19" s="29">
        <v>8.0</v>
      </c>
      <c r="G19" s="31">
        <v>8.0</v>
      </c>
      <c r="H19" s="31">
        <v>8.0</v>
      </c>
      <c r="I19" s="31">
        <v>7.0</v>
      </c>
      <c r="J19" s="31">
        <v>8.0</v>
      </c>
      <c r="K19" s="31">
        <v>8.0</v>
      </c>
      <c r="L19" s="31">
        <v>8.0</v>
      </c>
      <c r="M19" s="31">
        <v>8.0</v>
      </c>
      <c r="N19" s="31">
        <v>8.0</v>
      </c>
      <c r="O19" s="35">
        <f t="shared" ref="O19:O23" si="2">MROUND(F19*0.1+G19*0.1+H19*0.1+I19*0.1+J19*0.15+K19*0.15+L19*0.1+M19*0.1+N19*0.1, 0.5)</f>
        <v>8</v>
      </c>
      <c r="P19" s="33"/>
      <c r="Q19" s="36">
        <v>4.0</v>
      </c>
      <c r="R19" s="1">
        <v>8.0</v>
      </c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28">
        <v>11.0</v>
      </c>
      <c r="B20" s="28">
        <v>2.380601532E9</v>
      </c>
      <c r="C20" s="28" t="s">
        <v>51</v>
      </c>
      <c r="D20" s="28" t="s">
        <v>52</v>
      </c>
      <c r="E20" s="28" t="s">
        <v>31</v>
      </c>
      <c r="F20" s="29">
        <v>6.0</v>
      </c>
      <c r="G20" s="31">
        <v>6.0</v>
      </c>
      <c r="H20" s="31">
        <v>6.0</v>
      </c>
      <c r="I20" s="31">
        <v>6.0</v>
      </c>
      <c r="J20" s="31">
        <v>6.0</v>
      </c>
      <c r="K20" s="31">
        <v>7.0</v>
      </c>
      <c r="L20" s="31">
        <v>6.0</v>
      </c>
      <c r="M20" s="31">
        <v>6.0</v>
      </c>
      <c r="N20" s="31">
        <v>6.0</v>
      </c>
      <c r="O20" s="35">
        <f t="shared" si="2"/>
        <v>6</v>
      </c>
      <c r="P20" s="33"/>
      <c r="Q20" s="34">
        <v>1.0</v>
      </c>
      <c r="R20" s="1">
        <v>6.0</v>
      </c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28">
        <v>12.0</v>
      </c>
      <c r="B21" s="28">
        <v>2.380613512E9</v>
      </c>
      <c r="C21" s="28" t="s">
        <v>53</v>
      </c>
      <c r="D21" s="28" t="s">
        <v>54</v>
      </c>
      <c r="E21" s="28" t="s">
        <v>31</v>
      </c>
      <c r="F21" s="29">
        <v>8.0</v>
      </c>
      <c r="G21" s="31">
        <v>8.0</v>
      </c>
      <c r="H21" s="31">
        <v>8.0</v>
      </c>
      <c r="I21" s="31">
        <v>8.0</v>
      </c>
      <c r="J21" s="31">
        <v>9.0</v>
      </c>
      <c r="K21" s="31">
        <v>9.0</v>
      </c>
      <c r="L21" s="31">
        <v>8.0</v>
      </c>
      <c r="M21" s="31">
        <v>8.0</v>
      </c>
      <c r="N21" s="31">
        <v>8.0</v>
      </c>
      <c r="O21" s="35">
        <f t="shared" si="2"/>
        <v>8.5</v>
      </c>
      <c r="P21" s="33"/>
      <c r="Q21" s="34">
        <v>3.0</v>
      </c>
      <c r="R21" s="1">
        <v>8.5</v>
      </c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28">
        <v>13.0</v>
      </c>
      <c r="B22" s="28">
        <v>2.380601645E9</v>
      </c>
      <c r="C22" s="28" t="s">
        <v>55</v>
      </c>
      <c r="D22" s="28" t="s">
        <v>54</v>
      </c>
      <c r="E22" s="28" t="s">
        <v>31</v>
      </c>
      <c r="F22" s="29">
        <v>7.0</v>
      </c>
      <c r="G22" s="31">
        <v>6.0</v>
      </c>
      <c r="H22" s="31">
        <v>6.0</v>
      </c>
      <c r="I22" s="31">
        <v>6.0</v>
      </c>
      <c r="J22" s="31">
        <v>8.0</v>
      </c>
      <c r="K22" s="31">
        <v>8.0</v>
      </c>
      <c r="L22" s="31">
        <v>7.0</v>
      </c>
      <c r="M22" s="31">
        <v>6.0</v>
      </c>
      <c r="N22" s="31">
        <v>6.0</v>
      </c>
      <c r="O22" s="35">
        <f t="shared" si="2"/>
        <v>7</v>
      </c>
      <c r="P22" s="33"/>
      <c r="Q22" s="34">
        <v>6.0</v>
      </c>
      <c r="R22" s="1">
        <v>7.0</v>
      </c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28">
        <v>14.0</v>
      </c>
      <c r="B23" s="28">
        <v>2.380602041E9</v>
      </c>
      <c r="C23" s="28" t="s">
        <v>56</v>
      </c>
      <c r="D23" s="28" t="s">
        <v>57</v>
      </c>
      <c r="E23" s="28" t="s">
        <v>31</v>
      </c>
      <c r="F23" s="29">
        <v>8.0</v>
      </c>
      <c r="G23" s="31">
        <v>8.0</v>
      </c>
      <c r="H23" s="31">
        <v>8.0</v>
      </c>
      <c r="I23" s="31">
        <v>8.0</v>
      </c>
      <c r="J23" s="31">
        <v>9.0</v>
      </c>
      <c r="K23" s="31">
        <v>9.0</v>
      </c>
      <c r="L23" s="31">
        <v>8.0</v>
      </c>
      <c r="M23" s="31">
        <v>8.0</v>
      </c>
      <c r="N23" s="31">
        <v>8.0</v>
      </c>
      <c r="O23" s="35">
        <f t="shared" si="2"/>
        <v>8.5</v>
      </c>
      <c r="P23" s="33"/>
      <c r="Q23" s="36">
        <v>3.0</v>
      </c>
      <c r="R23" s="1">
        <v>8.5</v>
      </c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28">
        <v>15.0</v>
      </c>
      <c r="B24" s="28">
        <v>2.380602046E9</v>
      </c>
      <c r="C24" s="28" t="s">
        <v>58</v>
      </c>
      <c r="D24" s="28" t="s">
        <v>57</v>
      </c>
      <c r="E24" s="28" t="s">
        <v>31</v>
      </c>
      <c r="F24" s="29" t="s">
        <v>44</v>
      </c>
      <c r="G24" s="29" t="s">
        <v>44</v>
      </c>
      <c r="H24" s="29" t="s">
        <v>44</v>
      </c>
      <c r="I24" s="29" t="s">
        <v>44</v>
      </c>
      <c r="J24" s="29" t="s">
        <v>44</v>
      </c>
      <c r="K24" s="29" t="s">
        <v>44</v>
      </c>
      <c r="L24" s="29" t="s">
        <v>44</v>
      </c>
      <c r="M24" s="29" t="s">
        <v>44</v>
      </c>
      <c r="N24" s="29" t="s">
        <v>44</v>
      </c>
      <c r="O24" s="37" t="s">
        <v>44</v>
      </c>
      <c r="P24" s="33"/>
      <c r="Q24" s="34">
        <v>0.0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28">
        <v>16.0</v>
      </c>
      <c r="B25" s="28">
        <v>2.380602125E9</v>
      </c>
      <c r="C25" s="28" t="s">
        <v>59</v>
      </c>
      <c r="D25" s="28" t="s">
        <v>60</v>
      </c>
      <c r="E25" s="28" t="s">
        <v>31</v>
      </c>
      <c r="F25" s="29">
        <v>6.0</v>
      </c>
      <c r="G25" s="31">
        <v>6.0</v>
      </c>
      <c r="H25" s="31">
        <v>6.0</v>
      </c>
      <c r="I25" s="31">
        <v>6.0</v>
      </c>
      <c r="J25" s="31">
        <v>6.0</v>
      </c>
      <c r="K25" s="31">
        <v>7.0</v>
      </c>
      <c r="L25" s="31">
        <v>6.0</v>
      </c>
      <c r="M25" s="31">
        <v>6.0</v>
      </c>
      <c r="N25" s="31">
        <v>6.0</v>
      </c>
      <c r="O25" s="35">
        <f t="shared" ref="O25:O29" si="3">MROUND(F25*0.1+G25*0.1+H25*0.1+I25*0.1+J25*0.15+K25*0.15+L25*0.1+M25*0.1+N25*0.1, 0.5)</f>
        <v>6</v>
      </c>
      <c r="P25" s="33"/>
      <c r="Q25" s="36">
        <v>1.0</v>
      </c>
      <c r="R25" s="1">
        <v>6.0</v>
      </c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28">
        <v>17.0</v>
      </c>
      <c r="B26" s="28">
        <v>2.380602157E9</v>
      </c>
      <c r="C26" s="28" t="s">
        <v>61</v>
      </c>
      <c r="D26" s="28" t="s">
        <v>62</v>
      </c>
      <c r="E26" s="28" t="s">
        <v>31</v>
      </c>
      <c r="F26" s="29">
        <v>7.0</v>
      </c>
      <c r="G26" s="31">
        <v>8.0</v>
      </c>
      <c r="H26" s="31">
        <v>8.0</v>
      </c>
      <c r="I26" s="31">
        <v>8.0</v>
      </c>
      <c r="J26" s="31">
        <v>8.0</v>
      </c>
      <c r="K26" s="31">
        <v>8.0</v>
      </c>
      <c r="L26" s="31">
        <v>8.0</v>
      </c>
      <c r="M26" s="31">
        <v>7.0</v>
      </c>
      <c r="N26" s="31">
        <v>8.0</v>
      </c>
      <c r="O26" s="35">
        <f t="shared" si="3"/>
        <v>8</v>
      </c>
      <c r="P26" s="33"/>
      <c r="Q26" s="36">
        <v>5.0</v>
      </c>
      <c r="R26" s="1">
        <v>8.0</v>
      </c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28">
        <v>18.0</v>
      </c>
      <c r="B27" s="28">
        <v>2.38060221E9</v>
      </c>
      <c r="C27" s="28" t="s">
        <v>63</v>
      </c>
      <c r="D27" s="28" t="s">
        <v>64</v>
      </c>
      <c r="E27" s="28" t="s">
        <v>31</v>
      </c>
      <c r="F27" s="29">
        <v>7.0</v>
      </c>
      <c r="G27" s="31">
        <v>6.0</v>
      </c>
      <c r="H27" s="31">
        <v>6.0</v>
      </c>
      <c r="I27" s="31">
        <v>6.0</v>
      </c>
      <c r="J27" s="31">
        <v>8.0</v>
      </c>
      <c r="K27" s="31">
        <v>8.0</v>
      </c>
      <c r="L27" s="31">
        <v>7.0</v>
      </c>
      <c r="M27" s="31">
        <v>6.0</v>
      </c>
      <c r="N27" s="31">
        <v>6.0</v>
      </c>
      <c r="O27" s="35">
        <f t="shared" si="3"/>
        <v>7</v>
      </c>
      <c r="P27" s="33"/>
      <c r="Q27" s="36">
        <v>6.0</v>
      </c>
      <c r="R27" s="1">
        <v>7.0</v>
      </c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28">
        <v>19.0</v>
      </c>
      <c r="B28" s="28">
        <v>2.380602267E9</v>
      </c>
      <c r="C28" s="28" t="s">
        <v>65</v>
      </c>
      <c r="D28" s="28" t="s">
        <v>66</v>
      </c>
      <c r="E28" s="28" t="s">
        <v>31</v>
      </c>
      <c r="F28" s="29">
        <v>8.0</v>
      </c>
      <c r="G28" s="31">
        <v>8.0</v>
      </c>
      <c r="H28" s="31">
        <v>8.0</v>
      </c>
      <c r="I28" s="31">
        <v>8.0</v>
      </c>
      <c r="J28" s="31">
        <v>8.0</v>
      </c>
      <c r="K28" s="31">
        <v>8.0</v>
      </c>
      <c r="L28" s="31">
        <v>8.0</v>
      </c>
      <c r="M28" s="31">
        <v>8.0</v>
      </c>
      <c r="N28" s="31">
        <v>8.0</v>
      </c>
      <c r="O28" s="35">
        <f t="shared" si="3"/>
        <v>8</v>
      </c>
      <c r="P28" s="33"/>
      <c r="Q28" s="34">
        <v>8.0</v>
      </c>
      <c r="R28" s="1">
        <v>8.0</v>
      </c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28">
        <v>20.0</v>
      </c>
      <c r="B29" s="28">
        <v>2.380602305E9</v>
      </c>
      <c r="C29" s="28" t="s">
        <v>67</v>
      </c>
      <c r="D29" s="28" t="s">
        <v>68</v>
      </c>
      <c r="E29" s="28" t="s">
        <v>31</v>
      </c>
      <c r="F29" s="29">
        <v>8.0</v>
      </c>
      <c r="G29" s="31">
        <v>8.0</v>
      </c>
      <c r="H29" s="31">
        <v>8.0</v>
      </c>
      <c r="I29" s="31">
        <v>7.0</v>
      </c>
      <c r="J29" s="31">
        <v>8.0</v>
      </c>
      <c r="K29" s="31">
        <v>7.0</v>
      </c>
      <c r="L29" s="31">
        <v>7.0</v>
      </c>
      <c r="M29" s="31">
        <v>7.0</v>
      </c>
      <c r="N29" s="31">
        <v>7.0</v>
      </c>
      <c r="O29" s="35">
        <f t="shared" si="3"/>
        <v>7.5</v>
      </c>
      <c r="P29" s="33"/>
      <c r="Q29" s="34">
        <v>3.0</v>
      </c>
      <c r="R29" s="1">
        <v>7.5</v>
      </c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28">
        <v>21.0</v>
      </c>
      <c r="B30" s="28">
        <v>2.380602385E9</v>
      </c>
      <c r="C30" s="28" t="s">
        <v>69</v>
      </c>
      <c r="D30" s="28" t="s">
        <v>70</v>
      </c>
      <c r="E30" s="28" t="s">
        <v>31</v>
      </c>
      <c r="F30" s="29" t="s">
        <v>44</v>
      </c>
      <c r="G30" s="29" t="s">
        <v>44</v>
      </c>
      <c r="H30" s="29" t="s">
        <v>44</v>
      </c>
      <c r="I30" s="29" t="s">
        <v>44</v>
      </c>
      <c r="J30" s="29" t="s">
        <v>44</v>
      </c>
      <c r="K30" s="29" t="s">
        <v>44</v>
      </c>
      <c r="L30" s="29" t="s">
        <v>44</v>
      </c>
      <c r="M30" s="29" t="s">
        <v>44</v>
      </c>
      <c r="N30" s="29" t="s">
        <v>44</v>
      </c>
      <c r="O30" s="35" t="s">
        <v>44</v>
      </c>
      <c r="P30" s="33"/>
      <c r="Q30" s="34">
        <v>0.0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28">
        <v>22.0</v>
      </c>
      <c r="B31" s="28">
        <v>2.380602433E9</v>
      </c>
      <c r="C31" s="28" t="s">
        <v>71</v>
      </c>
      <c r="D31" s="28" t="s">
        <v>72</v>
      </c>
      <c r="E31" s="28" t="s">
        <v>31</v>
      </c>
      <c r="F31" s="29">
        <v>6.0</v>
      </c>
      <c r="G31" s="31">
        <v>6.0</v>
      </c>
      <c r="H31" s="31">
        <v>6.0</v>
      </c>
      <c r="I31" s="31">
        <v>6.0</v>
      </c>
      <c r="J31" s="31">
        <v>6.0</v>
      </c>
      <c r="K31" s="31">
        <v>7.0</v>
      </c>
      <c r="L31" s="31">
        <v>6.0</v>
      </c>
      <c r="M31" s="31">
        <v>6.0</v>
      </c>
      <c r="N31" s="31">
        <v>6.0</v>
      </c>
      <c r="O31" s="35">
        <f t="shared" ref="O31:O33" si="4">MROUND(F31*0.1+G31*0.1+H31*0.1+I31*0.1+J31*0.15+K31*0.15+L31*0.1+M31*0.1+N31*0.1, 0.5)</f>
        <v>6</v>
      </c>
      <c r="P31" s="33"/>
      <c r="Q31" s="34">
        <v>1.0</v>
      </c>
      <c r="R31" s="1">
        <v>6.0</v>
      </c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28">
        <v>23.0</v>
      </c>
      <c r="B32" s="28">
        <v>2.380602458E9</v>
      </c>
      <c r="C32" s="28" t="s">
        <v>73</v>
      </c>
      <c r="D32" s="28" t="s">
        <v>72</v>
      </c>
      <c r="E32" s="28" t="s">
        <v>31</v>
      </c>
      <c r="F32" s="29">
        <v>6.0</v>
      </c>
      <c r="G32" s="31">
        <v>6.0</v>
      </c>
      <c r="H32" s="31">
        <v>6.0</v>
      </c>
      <c r="I32" s="31">
        <v>6.0</v>
      </c>
      <c r="J32" s="31">
        <v>6.0</v>
      </c>
      <c r="K32" s="31">
        <v>6.0</v>
      </c>
      <c r="L32" s="31">
        <v>7.0</v>
      </c>
      <c r="M32" s="31">
        <v>6.0</v>
      </c>
      <c r="N32" s="31">
        <v>6.0</v>
      </c>
      <c r="O32" s="35">
        <f t="shared" si="4"/>
        <v>6</v>
      </c>
      <c r="P32" s="33"/>
      <c r="Q32" s="36">
        <v>9.0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28">
        <v>24.0</v>
      </c>
      <c r="B33" s="28">
        <v>2.380602559E9</v>
      </c>
      <c r="C33" s="28" t="s">
        <v>74</v>
      </c>
      <c r="D33" s="28" t="s">
        <v>75</v>
      </c>
      <c r="E33" s="28" t="s">
        <v>31</v>
      </c>
      <c r="F33" s="29">
        <v>7.0</v>
      </c>
      <c r="G33" s="31">
        <v>7.0</v>
      </c>
      <c r="H33" s="31">
        <v>9.0</v>
      </c>
      <c r="I33" s="31">
        <v>8.0</v>
      </c>
      <c r="J33" s="31">
        <v>8.0</v>
      </c>
      <c r="K33" s="31">
        <v>8.0</v>
      </c>
      <c r="L33" s="31">
        <v>8.0</v>
      </c>
      <c r="M33" s="31">
        <v>8.0</v>
      </c>
      <c r="N33" s="31">
        <v>8.0</v>
      </c>
      <c r="O33" s="35">
        <f t="shared" si="4"/>
        <v>8</v>
      </c>
      <c r="P33" s="33"/>
      <c r="Q33" s="36">
        <v>7.0</v>
      </c>
      <c r="R33" s="1">
        <v>8.0</v>
      </c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38"/>
      <c r="B35" s="38"/>
      <c r="C35" s="5"/>
      <c r="D35" s="5"/>
      <c r="E35" s="5"/>
      <c r="F35" s="4"/>
      <c r="G35" s="38"/>
      <c r="H35" s="4"/>
      <c r="I35" s="4"/>
      <c r="J35" s="1"/>
      <c r="K35" s="1"/>
      <c r="L35" s="4"/>
      <c r="M35" s="38"/>
      <c r="N35" s="4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38"/>
      <c r="C36" s="39" t="s">
        <v>76</v>
      </c>
      <c r="F36" s="38"/>
      <c r="G36" s="38"/>
      <c r="H36" s="38"/>
      <c r="I36" s="38"/>
      <c r="J36" s="16"/>
      <c r="K36" s="40" t="s">
        <v>77</v>
      </c>
      <c r="N36" s="38"/>
      <c r="O36" s="39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5.75" customHeight="1">
      <c r="A37" s="38"/>
      <c r="B37" s="38"/>
      <c r="C37" s="38"/>
      <c r="D37" s="38"/>
      <c r="E37" s="16"/>
      <c r="F37" s="38"/>
      <c r="G37" s="38"/>
      <c r="H37" s="38"/>
      <c r="I37" s="38"/>
      <c r="J37" s="38"/>
      <c r="K37" s="38"/>
      <c r="L37" s="38"/>
      <c r="M37" s="38"/>
      <c r="N37" s="16"/>
      <c r="O37" s="39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5.75" customHeight="1">
      <c r="A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39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39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5.75" customHeight="1">
      <c r="A40" s="41"/>
      <c r="C40" s="41" t="s">
        <v>78</v>
      </c>
      <c r="F40" s="41"/>
      <c r="G40" s="16"/>
      <c r="H40" s="16"/>
      <c r="I40" s="16"/>
      <c r="J40" s="16"/>
      <c r="K40" s="41" t="s">
        <v>78</v>
      </c>
      <c r="N40" s="16"/>
      <c r="O40" s="39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R$33"/>
  <mergeCells count="21">
    <mergeCell ref="O6:O9"/>
    <mergeCell ref="P6:P9"/>
    <mergeCell ref="Q6:Q9"/>
    <mergeCell ref="R6:R9"/>
    <mergeCell ref="A4:P4"/>
    <mergeCell ref="A5:P5"/>
    <mergeCell ref="A6:A9"/>
    <mergeCell ref="B6:B9"/>
    <mergeCell ref="C6:D9"/>
    <mergeCell ref="E6:E9"/>
    <mergeCell ref="F6:N6"/>
    <mergeCell ref="L7:M7"/>
    <mergeCell ref="C40:E40"/>
    <mergeCell ref="K40:M40"/>
    <mergeCell ref="F7:I7"/>
    <mergeCell ref="J7:K7"/>
    <mergeCell ref="A36:B36"/>
    <mergeCell ref="C36:E36"/>
    <mergeCell ref="K36:M36"/>
    <mergeCell ref="A38:B38"/>
    <mergeCell ref="A40:B40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1"/>
    <col customWidth="1" min="2" max="2" width="10.2"/>
    <col customWidth="1" min="3" max="3" width="17.1"/>
    <col customWidth="1" min="4" max="4" width="8.0"/>
    <col customWidth="1" min="5" max="13" width="10.0"/>
    <col customWidth="1" min="14" max="14" width="5.6"/>
    <col customWidth="1" min="15" max="15" width="5.5"/>
    <col customWidth="1" min="16" max="26" width="11.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 t="s">
        <v>0</v>
      </c>
      <c r="B3" s="4"/>
      <c r="C3" s="5"/>
      <c r="D3" s="5"/>
      <c r="E3" s="4"/>
      <c r="F3" s="4"/>
      <c r="G3" s="4"/>
      <c r="H3" s="4"/>
      <c r="I3" s="4"/>
      <c r="J3" s="4"/>
      <c r="K3" s="4"/>
      <c r="L3" s="4"/>
      <c r="M3" s="1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6" t="s">
        <v>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7" t="s">
        <v>79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8" t="s">
        <v>3</v>
      </c>
      <c r="B6" s="8" t="s">
        <v>4</v>
      </c>
      <c r="C6" s="8" t="s">
        <v>5</v>
      </c>
      <c r="D6" s="8" t="s">
        <v>6</v>
      </c>
      <c r="E6" s="11" t="s">
        <v>7</v>
      </c>
      <c r="F6" s="12"/>
      <c r="G6" s="12"/>
      <c r="H6" s="12"/>
      <c r="I6" s="12"/>
      <c r="J6" s="12"/>
      <c r="K6" s="12"/>
      <c r="L6" s="12"/>
      <c r="M6" s="13"/>
      <c r="N6" s="14" t="s">
        <v>8</v>
      </c>
      <c r="O6" s="14" t="s">
        <v>9</v>
      </c>
      <c r="P6" s="15" t="s">
        <v>10</v>
      </c>
      <c r="Q6" s="16" t="s">
        <v>11</v>
      </c>
      <c r="R6" s="1"/>
      <c r="S6" s="1"/>
      <c r="T6" s="1"/>
      <c r="U6" s="1"/>
      <c r="V6" s="1"/>
      <c r="W6" s="1"/>
      <c r="X6" s="1"/>
      <c r="Y6" s="1"/>
      <c r="Z6" s="1"/>
    </row>
    <row r="7" ht="30.75" customHeight="1">
      <c r="A7" s="17"/>
      <c r="B7" s="17"/>
      <c r="C7" s="17"/>
      <c r="D7" s="17"/>
      <c r="E7" s="11" t="s">
        <v>12</v>
      </c>
      <c r="F7" s="12"/>
      <c r="G7" s="12"/>
      <c r="H7" s="13"/>
      <c r="I7" s="20" t="s">
        <v>13</v>
      </c>
      <c r="J7" s="13"/>
      <c r="K7" s="20" t="s">
        <v>14</v>
      </c>
      <c r="L7" s="13"/>
      <c r="M7" s="21" t="s">
        <v>15</v>
      </c>
      <c r="N7" s="17"/>
      <c r="O7" s="17"/>
      <c r="P7" s="18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7"/>
      <c r="B8" s="17"/>
      <c r="C8" s="17"/>
      <c r="D8" s="17"/>
      <c r="E8" s="22" t="s">
        <v>16</v>
      </c>
      <c r="F8" s="22" t="s">
        <v>17</v>
      </c>
      <c r="G8" s="22" t="s">
        <v>18</v>
      </c>
      <c r="H8" s="22" t="s">
        <v>19</v>
      </c>
      <c r="I8" s="22" t="s">
        <v>20</v>
      </c>
      <c r="J8" s="22" t="s">
        <v>21</v>
      </c>
      <c r="K8" s="22" t="s">
        <v>22</v>
      </c>
      <c r="L8" s="22" t="s">
        <v>23</v>
      </c>
      <c r="M8" s="22" t="s">
        <v>24</v>
      </c>
      <c r="N8" s="17"/>
      <c r="O8" s="17"/>
      <c r="P8" s="18"/>
      <c r="R8" s="23"/>
      <c r="S8" s="23"/>
      <c r="T8" s="23"/>
      <c r="U8" s="1"/>
      <c r="V8" s="1"/>
      <c r="W8" s="1"/>
      <c r="X8" s="1"/>
      <c r="Y8" s="1"/>
      <c r="Z8" s="1"/>
    </row>
    <row r="9" ht="15.75" customHeight="1">
      <c r="A9" s="17"/>
      <c r="B9" s="17"/>
      <c r="C9" s="17"/>
      <c r="D9" s="17"/>
      <c r="E9" s="26" t="s">
        <v>25</v>
      </c>
      <c r="F9" s="26" t="s">
        <v>25</v>
      </c>
      <c r="G9" s="26" t="s">
        <v>26</v>
      </c>
      <c r="H9" s="26" t="s">
        <v>26</v>
      </c>
      <c r="I9" s="26" t="s">
        <v>27</v>
      </c>
      <c r="J9" s="26" t="s">
        <v>27</v>
      </c>
      <c r="K9" s="26" t="s">
        <v>28</v>
      </c>
      <c r="L9" s="26" t="s">
        <v>28</v>
      </c>
      <c r="M9" s="26" t="s">
        <v>26</v>
      </c>
      <c r="N9" s="27"/>
      <c r="O9" s="17"/>
      <c r="P9" s="18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8">
        <v>1.0</v>
      </c>
      <c r="B10" s="28">
        <v>1.911061715E9</v>
      </c>
      <c r="C10" s="28" t="s">
        <v>80</v>
      </c>
      <c r="D10" s="28" t="s">
        <v>81</v>
      </c>
      <c r="E10" s="29"/>
      <c r="F10" s="31"/>
      <c r="G10" s="31"/>
      <c r="H10" s="31"/>
      <c r="I10" s="31"/>
      <c r="J10" s="31"/>
      <c r="K10" s="31"/>
      <c r="L10" s="31"/>
      <c r="M10" s="31"/>
      <c r="N10" s="35">
        <f t="shared" ref="N10:N31" si="1">MROUND(E10*0.1+F10*0.1+G10*0.1+H10*0.1+I10*0.15+J10*0.15+K10*0.1+L10*0.1+M10*0.1, 0.5)</f>
        <v>0</v>
      </c>
      <c r="O10" s="33"/>
      <c r="P10" s="3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8"/>
      <c r="B11" s="28"/>
      <c r="C11" s="28"/>
      <c r="D11" s="28"/>
      <c r="E11" s="29"/>
      <c r="F11" s="31"/>
      <c r="G11" s="31"/>
      <c r="H11" s="31"/>
      <c r="I11" s="31"/>
      <c r="J11" s="31"/>
      <c r="K11" s="31"/>
      <c r="L11" s="31"/>
      <c r="M11" s="31"/>
      <c r="N11" s="35">
        <f t="shared" si="1"/>
        <v>0</v>
      </c>
      <c r="O11" s="33"/>
      <c r="P11" s="36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8"/>
      <c r="B12" s="28"/>
      <c r="C12" s="28"/>
      <c r="D12" s="28"/>
      <c r="E12" s="29"/>
      <c r="F12" s="31"/>
      <c r="G12" s="31"/>
      <c r="H12" s="31"/>
      <c r="I12" s="31"/>
      <c r="J12" s="31"/>
      <c r="K12" s="31"/>
      <c r="L12" s="31"/>
      <c r="M12" s="31"/>
      <c r="N12" s="35">
        <f t="shared" si="1"/>
        <v>0</v>
      </c>
      <c r="O12" s="33"/>
      <c r="P12" s="3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8"/>
      <c r="B13" s="28"/>
      <c r="C13" s="28"/>
      <c r="D13" s="28"/>
      <c r="E13" s="29"/>
      <c r="F13" s="31"/>
      <c r="G13" s="31"/>
      <c r="H13" s="31"/>
      <c r="I13" s="31"/>
      <c r="J13" s="31"/>
      <c r="K13" s="31"/>
      <c r="L13" s="31"/>
      <c r="M13" s="31"/>
      <c r="N13" s="35">
        <f t="shared" si="1"/>
        <v>0</v>
      </c>
      <c r="O13" s="33"/>
      <c r="P13" s="36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8"/>
      <c r="B14" s="28"/>
      <c r="C14" s="28"/>
      <c r="D14" s="28"/>
      <c r="E14" s="29"/>
      <c r="F14" s="31"/>
      <c r="G14" s="31"/>
      <c r="H14" s="31"/>
      <c r="I14" s="31"/>
      <c r="J14" s="31"/>
      <c r="K14" s="31"/>
      <c r="L14" s="31"/>
      <c r="M14" s="31"/>
      <c r="N14" s="35">
        <f t="shared" si="1"/>
        <v>0</v>
      </c>
      <c r="O14" s="33"/>
      <c r="P14" s="3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8"/>
      <c r="B15" s="28"/>
      <c r="C15" s="28"/>
      <c r="D15" s="28"/>
      <c r="E15" s="29"/>
      <c r="F15" s="31"/>
      <c r="G15" s="31"/>
      <c r="H15" s="31"/>
      <c r="I15" s="31"/>
      <c r="J15" s="31"/>
      <c r="K15" s="31"/>
      <c r="L15" s="31"/>
      <c r="M15" s="31"/>
      <c r="N15" s="35">
        <f t="shared" si="1"/>
        <v>0</v>
      </c>
      <c r="O15" s="33"/>
      <c r="P15" s="36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8"/>
      <c r="B16" s="28"/>
      <c r="C16" s="28"/>
      <c r="D16" s="28"/>
      <c r="E16" s="29"/>
      <c r="F16" s="31"/>
      <c r="G16" s="31"/>
      <c r="H16" s="31"/>
      <c r="I16" s="31"/>
      <c r="J16" s="31"/>
      <c r="K16" s="31"/>
      <c r="L16" s="31"/>
      <c r="M16" s="31"/>
      <c r="N16" s="35">
        <f t="shared" si="1"/>
        <v>0</v>
      </c>
      <c r="O16" s="33"/>
      <c r="P16" s="3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8"/>
      <c r="B17" s="28"/>
      <c r="C17" s="28"/>
      <c r="D17" s="28"/>
      <c r="E17" s="29"/>
      <c r="F17" s="31"/>
      <c r="G17" s="31"/>
      <c r="H17" s="31"/>
      <c r="I17" s="31"/>
      <c r="J17" s="31"/>
      <c r="K17" s="31"/>
      <c r="L17" s="31"/>
      <c r="M17" s="31"/>
      <c r="N17" s="35">
        <f t="shared" si="1"/>
        <v>0</v>
      </c>
      <c r="O17" s="33"/>
      <c r="P17" s="36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8"/>
      <c r="B18" s="28"/>
      <c r="C18" s="28"/>
      <c r="D18" s="28"/>
      <c r="E18" s="29"/>
      <c r="F18" s="31"/>
      <c r="G18" s="31"/>
      <c r="H18" s="31"/>
      <c r="I18" s="31"/>
      <c r="J18" s="31"/>
      <c r="K18" s="31"/>
      <c r="L18" s="31"/>
      <c r="M18" s="31"/>
      <c r="N18" s="35">
        <f t="shared" si="1"/>
        <v>0</v>
      </c>
      <c r="O18" s="33"/>
      <c r="P18" s="3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8"/>
      <c r="B19" s="28"/>
      <c r="C19" s="28"/>
      <c r="D19" s="28"/>
      <c r="E19" s="29"/>
      <c r="F19" s="31"/>
      <c r="G19" s="31"/>
      <c r="H19" s="31"/>
      <c r="I19" s="31"/>
      <c r="J19" s="31"/>
      <c r="K19" s="31"/>
      <c r="L19" s="31"/>
      <c r="M19" s="31"/>
      <c r="N19" s="35">
        <f t="shared" si="1"/>
        <v>0</v>
      </c>
      <c r="O19" s="33"/>
      <c r="P19" s="36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8"/>
      <c r="B20" s="28"/>
      <c r="C20" s="28"/>
      <c r="D20" s="28"/>
      <c r="E20" s="29"/>
      <c r="F20" s="31"/>
      <c r="G20" s="31"/>
      <c r="H20" s="31"/>
      <c r="I20" s="31"/>
      <c r="J20" s="31"/>
      <c r="K20" s="31"/>
      <c r="L20" s="31"/>
      <c r="M20" s="31"/>
      <c r="N20" s="35">
        <f t="shared" si="1"/>
        <v>0</v>
      </c>
      <c r="O20" s="33"/>
      <c r="P20" s="34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8"/>
      <c r="B21" s="28"/>
      <c r="C21" s="28"/>
      <c r="D21" s="28"/>
      <c r="E21" s="29"/>
      <c r="F21" s="31"/>
      <c r="G21" s="31"/>
      <c r="H21" s="31"/>
      <c r="I21" s="31"/>
      <c r="J21" s="31"/>
      <c r="K21" s="31"/>
      <c r="L21" s="31"/>
      <c r="M21" s="31"/>
      <c r="N21" s="35">
        <f t="shared" si="1"/>
        <v>0</v>
      </c>
      <c r="O21" s="33"/>
      <c r="P21" s="36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8"/>
      <c r="B22" s="28"/>
      <c r="C22" s="28"/>
      <c r="D22" s="28"/>
      <c r="E22" s="29"/>
      <c r="F22" s="31"/>
      <c r="G22" s="31"/>
      <c r="H22" s="31"/>
      <c r="I22" s="31"/>
      <c r="J22" s="31"/>
      <c r="K22" s="31"/>
      <c r="L22" s="31"/>
      <c r="M22" s="31"/>
      <c r="N22" s="35">
        <f t="shared" si="1"/>
        <v>0</v>
      </c>
      <c r="O22" s="33"/>
      <c r="P22" s="3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8"/>
      <c r="B23" s="28"/>
      <c r="C23" s="28"/>
      <c r="D23" s="28"/>
      <c r="E23" s="29"/>
      <c r="F23" s="31"/>
      <c r="G23" s="31"/>
      <c r="H23" s="31"/>
      <c r="I23" s="31"/>
      <c r="J23" s="31"/>
      <c r="K23" s="31"/>
      <c r="L23" s="31"/>
      <c r="M23" s="31"/>
      <c r="N23" s="35">
        <f t="shared" si="1"/>
        <v>0</v>
      </c>
      <c r="O23" s="33"/>
      <c r="P23" s="36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8"/>
      <c r="B24" s="28"/>
      <c r="C24" s="28"/>
      <c r="D24" s="28"/>
      <c r="E24" s="29"/>
      <c r="F24" s="31"/>
      <c r="G24" s="31"/>
      <c r="H24" s="31"/>
      <c r="I24" s="31"/>
      <c r="J24" s="31"/>
      <c r="K24" s="31"/>
      <c r="L24" s="31"/>
      <c r="M24" s="31"/>
      <c r="N24" s="35">
        <f t="shared" si="1"/>
        <v>0</v>
      </c>
      <c r="O24" s="33"/>
      <c r="P24" s="3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8"/>
      <c r="B25" s="28"/>
      <c r="C25" s="28"/>
      <c r="D25" s="28"/>
      <c r="E25" s="29"/>
      <c r="F25" s="31"/>
      <c r="G25" s="31"/>
      <c r="H25" s="31"/>
      <c r="I25" s="31"/>
      <c r="J25" s="31"/>
      <c r="K25" s="31"/>
      <c r="L25" s="31"/>
      <c r="M25" s="31"/>
      <c r="N25" s="35">
        <f t="shared" si="1"/>
        <v>0</v>
      </c>
      <c r="O25" s="33"/>
      <c r="P25" s="36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8"/>
      <c r="B26" s="28"/>
      <c r="C26" s="28"/>
      <c r="D26" s="28"/>
      <c r="E26" s="29"/>
      <c r="F26" s="31"/>
      <c r="G26" s="31"/>
      <c r="H26" s="31"/>
      <c r="I26" s="31"/>
      <c r="J26" s="31"/>
      <c r="K26" s="31"/>
      <c r="L26" s="31"/>
      <c r="M26" s="31"/>
      <c r="N26" s="35">
        <f t="shared" si="1"/>
        <v>0</v>
      </c>
      <c r="O26" s="33"/>
      <c r="P26" s="34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8"/>
      <c r="B27" s="28"/>
      <c r="C27" s="28"/>
      <c r="D27" s="28"/>
      <c r="E27" s="29"/>
      <c r="F27" s="31"/>
      <c r="G27" s="31"/>
      <c r="H27" s="31"/>
      <c r="I27" s="31"/>
      <c r="J27" s="31"/>
      <c r="K27" s="31"/>
      <c r="L27" s="31"/>
      <c r="M27" s="31"/>
      <c r="N27" s="35">
        <f t="shared" si="1"/>
        <v>0</v>
      </c>
      <c r="O27" s="33"/>
      <c r="P27" s="36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8"/>
      <c r="B28" s="28"/>
      <c r="C28" s="28"/>
      <c r="D28" s="28"/>
      <c r="E28" s="29"/>
      <c r="F28" s="31"/>
      <c r="G28" s="31"/>
      <c r="H28" s="31"/>
      <c r="I28" s="31"/>
      <c r="J28" s="31"/>
      <c r="K28" s="31"/>
      <c r="L28" s="31"/>
      <c r="M28" s="31"/>
      <c r="N28" s="35">
        <f t="shared" si="1"/>
        <v>0</v>
      </c>
      <c r="O28" s="33"/>
      <c r="P28" s="3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8"/>
      <c r="B29" s="28"/>
      <c r="C29" s="28"/>
      <c r="D29" s="28"/>
      <c r="E29" s="29"/>
      <c r="F29" s="31"/>
      <c r="G29" s="31"/>
      <c r="H29" s="31"/>
      <c r="I29" s="31"/>
      <c r="J29" s="31"/>
      <c r="K29" s="31"/>
      <c r="L29" s="31"/>
      <c r="M29" s="31"/>
      <c r="N29" s="35">
        <f t="shared" si="1"/>
        <v>0</v>
      </c>
      <c r="O29" s="33"/>
      <c r="P29" s="36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8"/>
      <c r="B30" s="28"/>
      <c r="C30" s="28"/>
      <c r="D30" s="28"/>
      <c r="E30" s="29"/>
      <c r="F30" s="31"/>
      <c r="G30" s="31"/>
      <c r="H30" s="31"/>
      <c r="I30" s="31"/>
      <c r="J30" s="31"/>
      <c r="K30" s="31"/>
      <c r="L30" s="31"/>
      <c r="M30" s="31"/>
      <c r="N30" s="35">
        <f t="shared" si="1"/>
        <v>0</v>
      </c>
      <c r="O30" s="33"/>
      <c r="P30" s="34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8"/>
      <c r="B31" s="28"/>
      <c r="C31" s="28"/>
      <c r="D31" s="28"/>
      <c r="E31" s="29"/>
      <c r="F31" s="31"/>
      <c r="G31" s="31"/>
      <c r="H31" s="31"/>
      <c r="I31" s="31"/>
      <c r="J31" s="31"/>
      <c r="K31" s="31"/>
      <c r="L31" s="31"/>
      <c r="M31" s="31"/>
      <c r="N31" s="35">
        <f t="shared" si="1"/>
        <v>0</v>
      </c>
      <c r="O31" s="33"/>
      <c r="P31" s="36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8"/>
      <c r="B32" s="28"/>
      <c r="C32" s="28"/>
      <c r="D32" s="28"/>
      <c r="E32" s="29"/>
      <c r="F32" s="31"/>
      <c r="G32" s="31"/>
      <c r="H32" s="31"/>
      <c r="I32" s="31"/>
      <c r="J32" s="31"/>
      <c r="K32" s="31"/>
      <c r="L32" s="31"/>
      <c r="M32" s="31"/>
      <c r="N32" s="42"/>
      <c r="O32" s="4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8"/>
      <c r="B33" s="44"/>
      <c r="C33" s="44"/>
      <c r="D33" s="44"/>
      <c r="E33" s="31"/>
      <c r="F33" s="31"/>
      <c r="G33" s="31"/>
      <c r="H33" s="31"/>
      <c r="I33" s="31"/>
      <c r="J33" s="31"/>
      <c r="K33" s="31"/>
      <c r="L33" s="31"/>
      <c r="M33" s="31"/>
      <c r="N33" s="42"/>
      <c r="O33" s="3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8"/>
      <c r="B34" s="28"/>
      <c r="C34" s="28"/>
      <c r="D34" s="28"/>
      <c r="E34" s="31"/>
      <c r="F34" s="31"/>
      <c r="G34" s="31"/>
      <c r="H34" s="31"/>
      <c r="I34" s="31"/>
      <c r="J34" s="31"/>
      <c r="K34" s="31"/>
      <c r="L34" s="31"/>
      <c r="M34" s="31"/>
      <c r="N34" s="42"/>
      <c r="O34" s="3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8"/>
      <c r="B35" s="28"/>
      <c r="C35" s="28"/>
      <c r="D35" s="28"/>
      <c r="E35" s="31"/>
      <c r="F35" s="31"/>
      <c r="G35" s="31"/>
      <c r="H35" s="31"/>
      <c r="I35" s="31"/>
      <c r="J35" s="31"/>
      <c r="K35" s="31"/>
      <c r="L35" s="31"/>
      <c r="M35" s="31"/>
      <c r="N35" s="42"/>
      <c r="O35" s="3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8"/>
      <c r="B36" s="28"/>
      <c r="C36" s="28"/>
      <c r="D36" s="28"/>
      <c r="E36" s="31"/>
      <c r="F36" s="31"/>
      <c r="G36" s="31"/>
      <c r="H36" s="31"/>
      <c r="I36" s="31"/>
      <c r="J36" s="31"/>
      <c r="K36" s="31"/>
      <c r="L36" s="31"/>
      <c r="M36" s="31"/>
      <c r="N36" s="42"/>
      <c r="O36" s="3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8"/>
      <c r="B37" s="28"/>
      <c r="C37" s="28"/>
      <c r="D37" s="28"/>
      <c r="E37" s="45"/>
      <c r="F37" s="45"/>
      <c r="G37" s="45"/>
      <c r="H37" s="45"/>
      <c r="I37" s="45"/>
      <c r="J37" s="45"/>
      <c r="K37" s="45"/>
      <c r="L37" s="45"/>
      <c r="M37" s="45"/>
      <c r="N37" s="42"/>
      <c r="O37" s="3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8"/>
      <c r="B39" s="38"/>
      <c r="C39" s="5"/>
      <c r="D39" s="5"/>
      <c r="E39" s="4"/>
      <c r="F39" s="38"/>
      <c r="G39" s="4"/>
      <c r="H39" s="4"/>
      <c r="I39" s="1"/>
      <c r="J39" s="1"/>
      <c r="K39" s="4"/>
      <c r="L39" s="38"/>
      <c r="M39" s="4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8"/>
      <c r="C40" s="39" t="s">
        <v>76</v>
      </c>
      <c r="E40" s="38"/>
      <c r="F40" s="38"/>
      <c r="G40" s="38"/>
      <c r="H40" s="38"/>
      <c r="I40" s="16"/>
      <c r="J40" s="40" t="s">
        <v>77</v>
      </c>
      <c r="M40" s="38"/>
      <c r="N40" s="39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38"/>
      <c r="B41" s="38"/>
      <c r="C41" s="38"/>
      <c r="D41" s="16"/>
      <c r="E41" s="38"/>
      <c r="F41" s="38"/>
      <c r="G41" s="38"/>
      <c r="H41" s="38"/>
      <c r="I41" s="38"/>
      <c r="J41" s="38"/>
      <c r="K41" s="38"/>
      <c r="L41" s="38"/>
      <c r="M41" s="16"/>
      <c r="N41" s="39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39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39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41"/>
      <c r="C44" s="41" t="s">
        <v>78</v>
      </c>
      <c r="E44" s="41"/>
      <c r="F44" s="16"/>
      <c r="G44" s="16"/>
      <c r="H44" s="16"/>
      <c r="I44" s="16"/>
      <c r="J44" s="41" t="s">
        <v>78</v>
      </c>
      <c r="M44" s="16"/>
      <c r="N44" s="39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N6:N9"/>
    <mergeCell ref="O6:O9"/>
    <mergeCell ref="P6:P9"/>
    <mergeCell ref="Q6:Q9"/>
    <mergeCell ref="A4:O4"/>
    <mergeCell ref="A5:O5"/>
    <mergeCell ref="A6:A9"/>
    <mergeCell ref="B6:B9"/>
    <mergeCell ref="C6:C9"/>
    <mergeCell ref="D6:D9"/>
    <mergeCell ref="E6:M6"/>
    <mergeCell ref="K7:L7"/>
    <mergeCell ref="C44:D44"/>
    <mergeCell ref="J44:L44"/>
    <mergeCell ref="E7:H7"/>
    <mergeCell ref="I7:J7"/>
    <mergeCell ref="A40:B40"/>
    <mergeCell ref="C40:D40"/>
    <mergeCell ref="J40:L40"/>
    <mergeCell ref="A42:B42"/>
    <mergeCell ref="A44:B44"/>
  </mergeCells>
  <printOptions/>
  <pageMargins bottom="0.75" footer="0.0" header="0.0" left="0.7" right="0.7" top="0.75"/>
  <pageSetup orientation="landscape"/>
  <drawing r:id="rId1"/>
</worksheet>
</file>